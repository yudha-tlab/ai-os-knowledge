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tlab01106/Projects/internal/ai-os/ai-os-knowledge/knowledge/projects/integrasi-bp-tapera/decisions/CR/"/>
    </mc:Choice>
  </mc:AlternateContent>
  <xr:revisionPtr revIDLastSave="0" documentId="13_ncr:1_{CD331911-C641-EF48-984A-993FD00E1DA5}" xr6:coauthVersionLast="47" xr6:coauthVersionMax="47" xr10:uidLastSave="{00000000-0000-0000-0000-000000000000}"/>
  <bookViews>
    <workbookView xWindow="0" yWindow="780" windowWidth="34200" windowHeight="20320" activeTab="4" xr2:uid="{00000000-000D-0000-FFFF-FFFF00000000}"/>
  </bookViews>
  <sheets>
    <sheet name="Timeline" sheetId="1" r:id="rId1"/>
    <sheet name="Summary" sheetId="2" r:id="rId2"/>
    <sheet name="Detail CR-20260729-001" sheetId="3" r:id="rId3"/>
    <sheet name="Detail CR-20260908-001" sheetId="4" r:id="rId4"/>
    <sheet name="Detail CR-20260908-00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E25" i="5"/>
  <c r="E9" i="4"/>
  <c r="E22" i="3"/>
  <c r="D19" i="2"/>
  <c r="C19" i="2"/>
  <c r="B19" i="2"/>
  <c r="E18" i="2"/>
  <c r="E17" i="2"/>
  <c r="E16" i="2"/>
  <c r="E15" i="2"/>
  <c r="E14" i="2"/>
  <c r="E13" i="2"/>
  <c r="E19" i="2" s="1"/>
</calcChain>
</file>

<file path=xl/sharedStrings.xml><?xml version="1.0" encoding="utf-8"?>
<sst xmlns="http://schemas.openxmlformats.org/spreadsheetml/2006/main" count="323" uniqueCount="220">
  <si>
    <t>GANTT CHART — CR CONSOLIDATED v2.1 (Integrasi BP Tapera)</t>
  </si>
  <si>
    <t>Timeline dalam hari kerja (H1–H22). Tanggal mulai menyesuaikan saat eksekusi dimulai.</t>
  </si>
  <si>
    <t>Workstream / Task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</si>
  <si>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</si>
  <si>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</si>
  <si>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</si>
  <si>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</si>
  <si>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</si>
  <si>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</si>
  <si>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</si>
  <si>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</si>
  <si>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</si>
  <si>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</si>
  <si>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</si>
  <si>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</si>
  <si>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</si>
  <si>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</si>
  <si>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</si>
  <si>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</si>
  <si>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</si>
  <si>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</si>
  <si>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</si>
  <si>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</si>
  <si>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</si>
  <si>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</si>
  <si>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Kickoff &amp; klarifikasi BSB</t>
  </si>
  <si>
    <t>X</t>
  </si>
  <si>
    <t>Backend (A.1–A.5)</t>
  </si>
  <si>
    <t>Frontend (B.1–B.4)</t>
  </si>
  <si>
    <t>Integrasi SI (C.1–C.2)</t>
  </si>
  <si>
    <t>QA test case &amp; regression (D.1–D.3)</t>
  </si>
  <si>
    <t>Deploy staging (E.1)</t>
  </si>
  <si>
    <t>UAT + deploy production (E.2)</t>
  </si>
  <si>
    <t>Pendampingan pasca-deploy (E.3)</t>
  </si>
  <si>
    <t>Frontend validasi form (V-1)</t>
  </si>
  <si>
    <t>Backend validasi (V-2) + QA (V-3)</t>
  </si>
  <si>
    <t>Backend route/DTO/Stok (BE-1..8)</t>
  </si>
  <si>
    <t>Frontend model &amp; dropdown (FE-1..3)</t>
  </si>
  <si>
    <t>Integrasi SI proxy (SI-1..2)</t>
  </si>
  <si>
    <t>QA regression &amp; UAT/VIT</t>
  </si>
  <si>
    <t>Deploy staging + production</t>
  </si>
  <si>
    <t>SUMMARY — CR CONSOLIDATED v2.1 (Integrasi BP Tapera)</t>
  </si>
  <si>
    <t>Mandays untuk penentuan harga (bisnis); timeline untuk delivery development.</t>
  </si>
  <si>
    <t>A. Effort per CR (Mandays)</t>
  </si>
  <si>
    <t>CR ID</t>
  </si>
  <si>
    <t>Judul</t>
  </si>
  <si>
    <t>Status</t>
  </si>
  <si>
    <t>Effort (MD)</t>
  </si>
  <si>
    <t>CR-20260729-001</t>
  </si>
  <si>
    <t>Penawaran Pengerjaan CR Delta TSD v0.8.6–v0.8.8</t>
  </si>
  <si>
    <t>Pending</t>
  </si>
  <si>
    <t>CR-20260908-001</t>
  </si>
  <si>
    <t>Penyesuaian Validasi Gender &amp; Pendapatan Applicant</t>
  </si>
  <si>
    <t>Draft</t>
  </si>
  <si>
    <t>CR-20260908-002</t>
  </si>
  <si>
    <t>Penyesuaian Tenor Maksimal &amp; Suku Bunga KPR Sejahtera FLPP</t>
  </si>
  <si>
    <t>TOTAL</t>
  </si>
  <si>
    <t>B. Effort per Peran (Mandays — untuk harga)</t>
  </si>
  <si>
    <t>Peran</t>
  </si>
  <si>
    <t>Delta TSD (CR-20260729-001)</t>
  </si>
  <si>
    <t>Validasi Form (CR-20260908-001)</t>
  </si>
  <si>
    <t>FLPP (CR-20260908-002)</t>
  </si>
  <si>
    <t>Total</t>
  </si>
  <si>
    <t>Project Manager</t>
  </si>
  <si>
    <t>DevOps</t>
  </si>
  <si>
    <t>Backend Developer</t>
  </si>
  <si>
    <t>Integrasi SI</t>
  </si>
  <si>
    <t>Tester</t>
  </si>
  <si>
    <t>Frontend Developer</t>
  </si>
  <si>
    <t>C. Timeline Delivery (untuk eksekusi development)</t>
  </si>
  <si>
    <t>Workstream</t>
  </si>
  <si>
    <t>Mandays</t>
  </si>
  <si>
    <t>Peran Paralel</t>
  </si>
  <si>
    <t>Estimasi Timeline</t>
  </si>
  <si>
    <t>CR-20260729-001 (Delta TSD)</t>
  </si>
  <si>
    <t>PM, DevOps, Backend, Tester</t>
  </si>
  <si>
    <t>10 hari kerja (H13–H22)</t>
  </si>
  <si>
    <t>CR-20260908-001 (Validasi Form)</t>
  </si>
  <si>
    <t>FE, BE, QA, PM</t>
  </si>
  <si>
    <t>2 hari kerja (H11–H12)</t>
  </si>
  <si>
    <t>CR-20260908-002 (FLPP)</t>
  </si>
  <si>
    <t>BE, FE, QA, DevOps, PM</t>
  </si>
  <si>
    <t>12 hari kerja (H1–H12, target 25 Sep)</t>
  </si>
  <si>
    <t>DETAIL ITEM DELIVERY — CR-20260729-001</t>
  </si>
  <si>
    <t>Penawaran Pengerjaan CR Delta TSD v0.8.6–v0.8.8 · Status: Pending · Effort: 42 MD</t>
  </si>
  <si>
    <t>Kode</t>
  </si>
  <si>
    <t>Task</t>
  </si>
  <si>
    <t>Deskripsi</t>
  </si>
  <si>
    <t>BE-1</t>
  </si>
  <si>
    <t>Update constraint panjang field</t>
  </si>
  <si>
    <t>Ubah panjang field pada DTO &amp; validasi sesuai TSD v0.8.6 (19 field → 100x, nama_pengembang → 200x)</t>
  </si>
  <si>
    <t>Backend</t>
  </si>
  <si>
    <t>BE-2</t>
  </si>
  <si>
    <t>Hapus field yang tidak dipakai</t>
  </si>
  <si>
    <t>Hapus 5 field (limit_pembiayaan, kode_bank_pengembang, nomor_rekening_pengembang, kode_bank_pemohon, rekening_tabungan_pemohon) dari DTO &amp; database</t>
  </si>
  <si>
    <t>BE-3</t>
  </si>
  <si>
    <t>Update enum pekerjaan_pemohon</t>
  </si>
  <si>
    <t>Terapkan validasi enum: ASN, TNI/POLRI, SWASTA, WIRASWASTA, LAINNYA</t>
  </si>
  <si>
    <t>BE-4</t>
  </si>
  <si>
    <t>Update URL environment</t>
  </si>
  <si>
    <t>Sesuaikan base URL dev/staging/production</t>
  </si>
  <si>
    <t>BE-5</t>
  </si>
  <si>
    <t>Route alignment Jadwal Angsuran</t>
  </si>
  <si>
    <t>Ubah path 12 endpoint dari /angsuran/ → /jadwal-angsur/</t>
  </si>
  <si>
    <t>BE-6</t>
  </si>
  <si>
    <t>Update Stok Rumah List Perumahan</t>
  </si>
  <si>
    <t>Tambah request params namaPerumahan/limit/page</t>
  </si>
  <si>
    <t>BE-7</t>
  </si>
  <si>
    <t>Update Stok Rumah List Rumah</t>
  </si>
  <si>
    <t>Tambah field blok/nomor_rumah/tipe_bangunan + koreksi typo luas_bangunan</t>
  </si>
  <si>
    <t>BE-8</t>
  </si>
  <si>
    <t>Update Stok Rumah Detail Rumah</t>
  </si>
  <si>
    <t>Tambah field tipe_bangunan/nomor_slf/tanggal_slf</t>
  </si>
  <si>
    <t>FE-1</t>
  </si>
  <si>
    <t>Update model House</t>
  </si>
  <si>
    <t>Tambah field tipe_bangunan/nomor_slf/tanggal_slf pada model frontend</t>
  </si>
  <si>
    <t>Frontend</t>
  </si>
  <si>
    <t>FE-2</t>
  </si>
  <si>
    <t>Update tampilan Stok Rumah</t>
  </si>
  <si>
    <t>Sesuaikan tampilan halaman yang menggunakan data House</t>
  </si>
  <si>
    <t>FE-3</t>
  </si>
  <si>
    <t>Update dropdown Pekerjaan Pemohon</t>
  </si>
  <si>
    <t>Sesuaikan dropdown sesuai 5 nilai tervalidasi (ASN, TNI/POLRI, SWASTA, WIRASWASTA, LAINNYA)</t>
  </si>
  <si>
    <t>SI-1</t>
  </si>
  <si>
    <t>Update proxy routing</t>
  </si>
  <si>
    <t>Sesuaikan proxy path 12 endpoint Jadwal Angsuran</t>
  </si>
  <si>
    <t>SI-2</t>
  </si>
  <si>
    <t>Update proxy Stok Rumah</t>
  </si>
  <si>
    <t>Sesuaikan proxy untuk field baru Stok Rumah</t>
  </si>
  <si>
    <t>QA-1</t>
  </si>
  <si>
    <t>Regression testing</t>
  </si>
  <si>
    <t>Regression modul Jadwal Angsuran, Stok Rumah, pengajuan</t>
  </si>
  <si>
    <t>QA-2</t>
  </si>
  <si>
    <t>UAT/VIT</t>
  </si>
  <si>
    <t>UAT bersama BSB &amp; Vendor Integration Testing dengan BP Tapera</t>
  </si>
  <si>
    <t>DEV-1</t>
  </si>
  <si>
    <t>Deployment</t>
  </si>
  <si>
    <t>Deploy staging &amp; production + verifikasi</t>
  </si>
  <si>
    <t>PM-1</t>
  </si>
  <si>
    <t>Manajemen proyek &amp; pendampingan</t>
  </si>
  <si>
    <t>Koordinasi, monitoring, transfer knowledge</t>
  </si>
  <si>
    <t>PM</t>
  </si>
  <si>
    <t>DETAIL ITEM DELIVERY — CR-20260908-001</t>
  </si>
  <si>
    <t>Penyesuaian Validasi Gender &amp; Pendapatan Applicant · Status: Draft · Effort: 2,5 MD</t>
  </si>
  <si>
    <t>V-1</t>
  </si>
  <si>
    <t>Frontend — validasi form</t>
  </si>
  <si>
    <t>Tambah validasi mandatory field (Gender, Pilih Pekerjaan Pemohon, pendapatan) saat tombol 'Isi Formulir' diklik; tampilkan pesan error yang jelas</t>
  </si>
  <si>
    <t>V-2</t>
  </si>
  <si>
    <t>Backend — validasi mandatory</t>
  </si>
  <si>
    <t>Tambah/verifikasi validasi mandatory field di sisi backend agar tidak bisa dilewati</t>
  </si>
  <si>
    <t>V-3</t>
  </si>
  <si>
    <t>QA — test case &amp; regression</t>
  </si>
  <si>
    <t>Test case validasi form + regression form pengajuan &amp; inbox</t>
  </si>
  <si>
    <t>V-4</t>
  </si>
  <si>
    <t>PM — koordinasi &amp; dokumentasi</t>
  </si>
  <si>
    <t>Koordinasi BSB, update PRD/FSD, finalisasi CR</t>
  </si>
  <si>
    <t>DETAIL ITEM DELIVERY — CR-20260908-002</t>
  </si>
  <si>
    <t>Penyesuaian Tenor Maksimal &amp; Suku Bunga KPR Sejahtera FLPP · Status: Draft · Effort: 16 MD</t>
  </si>
  <si>
    <t>A.1</t>
  </si>
  <si>
    <t>Update validasi rentang tenor</t>
  </si>
  <si>
    <t>Ubah batas maksimum validasi tenor dari 240 bulan menjadi 480 bulan (40 tahun) pada modul amortisasi &amp; pengajuan</t>
  </si>
  <si>
    <t>A.2</t>
  </si>
  <si>
    <t>Update parameter &amp; validasi suku bunga</t>
  </si>
  <si>
    <t>Perbarui nilai dan validasi suku bunga tetap: 6,00% (Rumah Tapak) dan 5,00% (Rumah Susun)</t>
  </si>
  <si>
    <t>A.3</t>
  </si>
  <si>
    <t>Logika pemetaan jenis rumah → suku bunga</t>
  </si>
  <si>
    <t>Tambahkan logika pemilihan suku bunga berdasarkan jenis rumah (tapak vs susun)</t>
  </si>
  <si>
    <t>A.4</t>
  </si>
  <si>
    <t>Update constraint database</t>
  </si>
  <si>
    <t>Verifikasi &amp; update constraint kolom terkait tenor/bunga dan data parameter produk</t>
  </si>
  <si>
    <t>A.5</t>
  </si>
  <si>
    <t>Testing backend</t>
  </si>
  <si>
    <t>Unit test untuk validasi baru (tenor 480, bunga 6%/5%, pemetaan jenis rumah)</t>
  </si>
  <si>
    <t>B.1</t>
  </si>
  <si>
    <t>Update field input Tenor</t>
  </si>
  <si>
    <t>Ubah validasi sisi klien tenor (maksimal 480 bulan), pesan error, hint pada form pengajuan &amp; simulasi (konvensional + syariah)</t>
  </si>
  <si>
    <t>B.2</t>
  </si>
  <si>
    <t>Update field Bunga</t>
  </si>
  <si>
    <t>Penyesuaian nilai default dan tampilan suku bunga sesuai jenis program/rumah</t>
  </si>
  <si>
    <t>B.3</t>
  </si>
  <si>
    <t>Penyesuaian tampilan simulasi &amp; jadwal angsuran</t>
  </si>
  <si>
    <t>Pastikan tampilan jadwal angsuran tenor panjang (s.d. 480 baris) tidak merusak layout</t>
  </si>
  <si>
    <t>B.4</t>
  </si>
  <si>
    <t>Testing frontend</t>
  </si>
  <si>
    <t>Uji form pengajuan &amp; tampilan simulasi di kedua portal (konvensional + syariah)</t>
  </si>
  <si>
    <t>C.1</t>
  </si>
  <si>
    <t>Verifikasi &amp; penyesuaian proxy endpoint</t>
  </si>
  <si>
    <t>Verifikasi parameter yang diteruskan proxy ke endpoint Get Jadwal Angsur core banking (tenor s.d. 480, bunga baru)</t>
  </si>
  <si>
    <t>C.2</t>
  </si>
  <si>
    <t>Verifikasi API BP Tapera / TSD terbaru</t>
  </si>
  <si>
    <t>Cek apakah rilis TSD terbaru mengubah parameter terkait kebijakan baru (tenor/bunga)</t>
  </si>
  <si>
    <t>D.1</t>
  </si>
  <si>
    <t>Penyusunan test case baru</t>
  </si>
  <si>
    <t>Test case: pengajuan dengan tenor 10/15/20/40 tahun, bunga 6% (tapak) &amp; 5% (susun), boundary value tenor</t>
  </si>
  <si>
    <t>D.2</t>
  </si>
  <si>
    <t>Regression modul pengajuan, amortisasi, stok rumah</t>
  </si>
  <si>
    <t>D.3</t>
  </si>
  <si>
    <t>Uji silang simulasi vs tabel resmi</t>
  </si>
  <si>
    <t>Bandingkan hasil simulasi sistem vs tabel simulasi resmi klien (5 zona × 4 tenor)</t>
  </si>
  <si>
    <t>E.1</t>
  </si>
  <si>
    <t>Deployment staging + verifikasi</t>
  </si>
  <si>
    <t>Deploy build ke staging dan verifikasi smoke test</t>
  </si>
  <si>
    <t>E.2</t>
  </si>
  <si>
    <t>Deployment production</t>
  </si>
  <si>
    <t>Deploy ke production (terjadwal, dengan rollback plan)</t>
  </si>
  <si>
    <t>E.3</t>
  </si>
  <si>
    <t>Verifikasi pasca-deployment</t>
  </si>
  <si>
    <t>Verifikasi health check &amp; parameter baru di production</t>
  </si>
  <si>
    <t>F.1</t>
  </si>
  <si>
    <t>Koordinasi &amp; klarifikasi</t>
  </si>
  <si>
    <t>Koordinasi dengan BSB (core banking, parameter produk) dan pemantauan rilis TSD BP Tapera</t>
  </si>
  <si>
    <t>F.2</t>
  </si>
  <si>
    <t>Update PRD/FSD &amp; dokumentasi CR</t>
  </si>
  <si>
    <t>Update PRD, FSD Amortisasi, FSD Pengajuan; finalisasi dokumen CR &amp; penawaran</t>
  </si>
  <si>
    <t>F.3</t>
  </si>
  <si>
    <t>Manajemen &amp; pendampingan</t>
  </si>
  <si>
    <t>Manajemen proyek, monitoring harian, pendampingan UAT bersama BSB</t>
  </si>
  <si>
    <t>P1 · FLPP Tenor &amp; Suku Bunga (CR-20260908-002)</t>
  </si>
  <si>
    <t>P2 · Validasi Gender &amp; Pendapatan (CR-20260908-001)</t>
  </si>
  <si>
    <t>P3 · Delta TSD v0.8.6–v0.8.8 (CR-20260729-001)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</si>
</sst>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1"/>
      <color rgb="FF6B7280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0" borderId="0" xfId="0" applyFont="1"/>
    <xf numFmtId="0" fontId="2" fillId="0" borderId="0" xfId="0" applyFont="1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"/>
  <sheetViews>
    <sheetView workbookViewId="0">
      <pane xSplit="1" ySplit="4" topLeftCell="B5" activePane="bottomRight" state="frozen"/>
      <selection pane="topRight"/>
      <selection pane="bottomLeft"/>
      <selection pane="bottomRight" activeCell="L13" sqref="L13"/>
    </sheetView>
  </sheetViews>
  <sheetFormatPr baseColWidth="10" defaultColWidth="8.83203125" defaultRowHeight="15" x14ac:dyDescent="0.2"/>
  <cols>
    <col min="1" max="1" width="53.1640625" customWidth="1"/>
    <col min="2" max="23" width="5" customWidth="1"/>
  </cols>
  <sheetData>
    <row r="1" spans="1:23" ht="19" x14ac:dyDescent="0.25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x14ac:dyDescent="0.2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4" spans="1:23" x14ac:dyDescent="0.2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</row>
    <row r="5" spans="1:23" x14ac:dyDescent="0.2">
      <c r="A5" s="3" t="s">
        <v>217</v>
      </c>
    </row>
    <row r="6" spans="1:23" x14ac:dyDescent="0.2">
      <c r="A6" t="s">
        <v>25</v>
      </c>
      <c r="B6" t="s">
        <v>26</v>
      </c>
      <c r="C6" t="s">
        <v>26</v>
      </c>
      <c r="D6" t="s">
        <v>26</v>
      </c>
    </row>
    <row r="7" spans="1:23" x14ac:dyDescent="0.2">
      <c r="A7" t="s">
        <v>27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</row>
    <row r="8" spans="1:23" x14ac:dyDescent="0.2">
      <c r="A8" t="s">
        <v>28</v>
      </c>
      <c r="C8" t="s">
        <v>26</v>
      </c>
      <c r="D8" t="s">
        <v>26</v>
      </c>
      <c r="E8" t="s">
        <v>26</v>
      </c>
      <c r="F8" t="s">
        <v>26</v>
      </c>
    </row>
    <row r="9" spans="1:23" x14ac:dyDescent="0.2">
      <c r="A9" t="s">
        <v>29</v>
      </c>
      <c r="E9" t="s">
        <v>26</v>
      </c>
      <c r="F9" t="s">
        <v>26</v>
      </c>
    </row>
    <row r="10" spans="1:23" x14ac:dyDescent="0.2">
      <c r="A10" t="s">
        <v>30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26</v>
      </c>
    </row>
    <row r="11" spans="1:23" x14ac:dyDescent="0.2">
      <c r="A11" t="s">
        <v>31</v>
      </c>
      <c r="H11" t="s">
        <v>26</v>
      </c>
    </row>
    <row r="12" spans="1:23" x14ac:dyDescent="0.2">
      <c r="A12" t="s">
        <v>32</v>
      </c>
      <c r="K12" t="s">
        <v>26</v>
      </c>
    </row>
    <row r="13" spans="1:23" x14ac:dyDescent="0.2">
      <c r="A13" t="s">
        <v>33</v>
      </c>
    </row>
    <row r="15" spans="1:23" x14ac:dyDescent="0.2">
      <c r="A15" s="4" t="s">
        <v>218</v>
      </c>
    </row>
    <row r="16" spans="1:23" x14ac:dyDescent="0.2">
      <c r="A16" t="s">
        <v>34</v>
      </c>
      <c r="L16" t="s">
        <v>26</v>
      </c>
    </row>
    <row r="17" spans="1:23" x14ac:dyDescent="0.2">
      <c r="A17" t="s">
        <v>35</v>
      </c>
      <c r="M17" t="s">
        <v>26</v>
      </c>
    </row>
    <row r="19" spans="1:23" x14ac:dyDescent="0.2">
      <c r="A19" s="5" t="s">
        <v>219</v>
      </c>
    </row>
    <row r="20" spans="1:23" x14ac:dyDescent="0.2">
      <c r="A20" t="s">
        <v>36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  <c r="S20" t="s">
        <v>26</v>
      </c>
      <c r="T20" t="s">
        <v>26</v>
      </c>
      <c r="U20" t="s">
        <v>26</v>
      </c>
      <c r="V20" t="s">
        <v>26</v>
      </c>
      <c r="W20" t="s">
        <v>26</v>
      </c>
    </row>
    <row r="21" spans="1:23" x14ac:dyDescent="0.2">
      <c r="A21" t="s">
        <v>37</v>
      </c>
      <c r="N21" t="s">
        <v>26</v>
      </c>
      <c r="O21" t="s">
        <v>26</v>
      </c>
      <c r="P21" t="s">
        <v>26</v>
      </c>
      <c r="Q21" t="s">
        <v>26</v>
      </c>
    </row>
    <row r="22" spans="1:23" x14ac:dyDescent="0.2">
      <c r="A22" t="s">
        <v>38</v>
      </c>
      <c r="N22" t="s">
        <v>26</v>
      </c>
      <c r="O22" t="s">
        <v>26</v>
      </c>
    </row>
    <row r="23" spans="1:23" x14ac:dyDescent="0.2">
      <c r="A23" t="s">
        <v>39</v>
      </c>
      <c r="R23" t="s">
        <v>26</v>
      </c>
      <c r="S23" t="s">
        <v>26</v>
      </c>
      <c r="T23" t="s">
        <v>26</v>
      </c>
      <c r="U23" t="s">
        <v>26</v>
      </c>
      <c r="V23" t="s">
        <v>26</v>
      </c>
      <c r="W23" t="s">
        <v>26</v>
      </c>
    </row>
    <row r="24" spans="1:23" x14ac:dyDescent="0.2">
      <c r="A24" t="s">
        <v>40</v>
      </c>
      <c r="U24" t="s">
        <v>26</v>
      </c>
      <c r="V24" t="s">
        <v>26</v>
      </c>
    </row>
  </sheetData>
  <mergeCells count="2">
    <mergeCell ref="A2:W2"/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>
      <pane ySplit="1" topLeftCell="A2" activePane="bottomLeft" state="frozen"/>
      <selection pane="bottomLeft" activeCell="D10" sqref="D10"/>
    </sheetView>
  </sheetViews>
  <sheetFormatPr baseColWidth="10" defaultColWidth="8.83203125" defaultRowHeight="15" x14ac:dyDescent="0.2"/>
  <cols>
    <col min="1" max="1" width="42" customWidth="1"/>
    <col min="2" max="3" width="30" customWidth="1"/>
    <col min="4" max="4" width="18" customWidth="1"/>
    <col min="5" max="5" width="12" customWidth="1"/>
  </cols>
  <sheetData>
    <row r="1" spans="1:5" ht="19" x14ac:dyDescent="0.25">
      <c r="A1" s="1" t="s">
        <v>41</v>
      </c>
    </row>
    <row r="2" spans="1:5" x14ac:dyDescent="0.2">
      <c r="A2" s="2" t="s">
        <v>42</v>
      </c>
    </row>
    <row r="4" spans="1:5" x14ac:dyDescent="0.2">
      <c r="A4" s="3" t="s">
        <v>43</v>
      </c>
    </row>
    <row r="5" spans="1:5" x14ac:dyDescent="0.2">
      <c r="A5" t="s">
        <v>44</v>
      </c>
      <c r="B5" t="s">
        <v>45</v>
      </c>
      <c r="C5" t="s">
        <v>46</v>
      </c>
      <c r="D5" t="s">
        <v>47</v>
      </c>
    </row>
    <row r="6" spans="1:5" x14ac:dyDescent="0.2">
      <c r="A6" t="s">
        <v>48</v>
      </c>
      <c r="B6" t="s">
        <v>49</v>
      </c>
      <c r="C6" t="s">
        <v>50</v>
      </c>
      <c r="D6">
        <v>42</v>
      </c>
    </row>
    <row r="7" spans="1:5" x14ac:dyDescent="0.2">
      <c r="A7" t="s">
        <v>51</v>
      </c>
      <c r="B7" t="s">
        <v>52</v>
      </c>
      <c r="C7" t="s">
        <v>53</v>
      </c>
      <c r="D7">
        <v>2.5</v>
      </c>
    </row>
    <row r="8" spans="1:5" x14ac:dyDescent="0.2">
      <c r="A8" t="s">
        <v>54</v>
      </c>
      <c r="B8" t="s">
        <v>55</v>
      </c>
      <c r="C8" t="s">
        <v>53</v>
      </c>
      <c r="D8">
        <v>16</v>
      </c>
    </row>
    <row r="9" spans="1:5" x14ac:dyDescent="0.2">
      <c r="A9" s="6" t="s">
        <v>56</v>
      </c>
      <c r="D9" s="6">
        <f>SUM(D6:D8)</f>
        <v>60.5</v>
      </c>
    </row>
    <row r="11" spans="1:5" x14ac:dyDescent="0.2">
      <c r="A11" s="3" t="s">
        <v>57</v>
      </c>
    </row>
    <row r="12" spans="1:5" x14ac:dyDescent="0.2">
      <c r="A12" t="s">
        <v>58</v>
      </c>
      <c r="B12" t="s">
        <v>59</v>
      </c>
      <c r="C12" t="s">
        <v>60</v>
      </c>
      <c r="D12" t="s">
        <v>61</v>
      </c>
      <c r="E12" t="s">
        <v>62</v>
      </c>
    </row>
    <row r="13" spans="1:5" x14ac:dyDescent="0.2">
      <c r="A13" t="s">
        <v>63</v>
      </c>
      <c r="B13">
        <v>12</v>
      </c>
      <c r="C13">
        <v>0.5</v>
      </c>
      <c r="D13">
        <v>3</v>
      </c>
      <c r="E13">
        <f t="shared" ref="E13:E18" si="0">SUM(B13:D13)</f>
        <v>15.5</v>
      </c>
    </row>
    <row r="14" spans="1:5" x14ac:dyDescent="0.2">
      <c r="A14" t="s">
        <v>64</v>
      </c>
      <c r="B14">
        <v>6</v>
      </c>
      <c r="C14">
        <v>0</v>
      </c>
      <c r="D14">
        <v>1.5</v>
      </c>
      <c r="E14">
        <f t="shared" si="0"/>
        <v>7.5</v>
      </c>
    </row>
    <row r="15" spans="1:5" x14ac:dyDescent="0.2">
      <c r="A15" t="s">
        <v>65</v>
      </c>
      <c r="B15">
        <v>9</v>
      </c>
      <c r="C15">
        <v>0.5</v>
      </c>
      <c r="D15">
        <v>4.5</v>
      </c>
      <c r="E15">
        <f t="shared" si="0"/>
        <v>14</v>
      </c>
    </row>
    <row r="16" spans="1:5" x14ac:dyDescent="0.2">
      <c r="A16" t="s">
        <v>66</v>
      </c>
      <c r="B16">
        <v>1</v>
      </c>
      <c r="C16">
        <v>0</v>
      </c>
      <c r="D16">
        <v>1</v>
      </c>
      <c r="E16">
        <f t="shared" si="0"/>
        <v>2</v>
      </c>
    </row>
    <row r="17" spans="1:5" x14ac:dyDescent="0.2">
      <c r="A17" t="s">
        <v>67</v>
      </c>
      <c r="B17">
        <v>12</v>
      </c>
      <c r="C17">
        <v>0.5</v>
      </c>
      <c r="D17">
        <v>3.5</v>
      </c>
      <c r="E17">
        <f t="shared" si="0"/>
        <v>16</v>
      </c>
    </row>
    <row r="18" spans="1:5" x14ac:dyDescent="0.2">
      <c r="A18" t="s">
        <v>68</v>
      </c>
      <c r="B18">
        <v>2</v>
      </c>
      <c r="C18">
        <v>1</v>
      </c>
      <c r="D18">
        <v>2.5</v>
      </c>
      <c r="E18">
        <f t="shared" si="0"/>
        <v>5.5</v>
      </c>
    </row>
    <row r="19" spans="1:5" x14ac:dyDescent="0.2">
      <c r="A19" s="6" t="s">
        <v>56</v>
      </c>
      <c r="B19" s="6">
        <f>SUM(B13:B18)</f>
        <v>42</v>
      </c>
      <c r="C19" s="6">
        <f>SUM(C13:C18)</f>
        <v>2.5</v>
      </c>
      <c r="D19" s="6">
        <f>SUM(D13:D18)</f>
        <v>16</v>
      </c>
      <c r="E19" s="6">
        <f>SUM(E13:E18)</f>
        <v>60.5</v>
      </c>
    </row>
    <row r="21" spans="1:5" x14ac:dyDescent="0.2">
      <c r="A21" s="3" t="s">
        <v>69</v>
      </c>
    </row>
    <row r="22" spans="1:5" x14ac:dyDescent="0.2">
      <c r="A22" t="s">
        <v>70</v>
      </c>
      <c r="B22" t="s">
        <v>71</v>
      </c>
      <c r="C22" t="s">
        <v>72</v>
      </c>
      <c r="D22" t="s">
        <v>73</v>
      </c>
    </row>
    <row r="23" spans="1:5" x14ac:dyDescent="0.2">
      <c r="A23" t="s">
        <v>74</v>
      </c>
      <c r="B23">
        <v>42</v>
      </c>
      <c r="C23" t="s">
        <v>75</v>
      </c>
      <c r="D23" t="s">
        <v>76</v>
      </c>
    </row>
    <row r="24" spans="1:5" x14ac:dyDescent="0.2">
      <c r="A24" t="s">
        <v>77</v>
      </c>
      <c r="B24">
        <v>2.5</v>
      </c>
      <c r="C24" t="s">
        <v>78</v>
      </c>
      <c r="D24" t="s">
        <v>79</v>
      </c>
    </row>
    <row r="25" spans="1:5" x14ac:dyDescent="0.2">
      <c r="A25" t="s">
        <v>80</v>
      </c>
      <c r="B25">
        <v>16</v>
      </c>
      <c r="C25" t="s">
        <v>81</v>
      </c>
      <c r="D25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0" customWidth="1"/>
    <col min="3" max="3" width="60" customWidth="1"/>
    <col min="4" max="4" width="16" customWidth="1"/>
    <col min="5" max="5" width="10" customWidth="1"/>
  </cols>
  <sheetData>
    <row r="1" spans="1:5" ht="19" x14ac:dyDescent="0.25">
      <c r="A1" s="1" t="s">
        <v>83</v>
      </c>
    </row>
    <row r="2" spans="1:5" x14ac:dyDescent="0.2">
      <c r="A2" s="2" t="s">
        <v>84</v>
      </c>
    </row>
    <row r="4" spans="1:5" x14ac:dyDescent="0.2">
      <c r="A4" t="s">
        <v>85</v>
      </c>
      <c r="B4" t="s">
        <v>86</v>
      </c>
      <c r="C4" t="s">
        <v>87</v>
      </c>
      <c r="D4" t="s">
        <v>58</v>
      </c>
      <c r="E4" t="s">
        <v>71</v>
      </c>
    </row>
    <row r="5" spans="1:5" x14ac:dyDescent="0.2">
      <c r="A5" t="s">
        <v>88</v>
      </c>
      <c r="B5" t="s">
        <v>89</v>
      </c>
      <c r="C5" t="s">
        <v>90</v>
      </c>
      <c r="D5" t="s">
        <v>91</v>
      </c>
      <c r="E5">
        <v>1.5</v>
      </c>
    </row>
    <row r="6" spans="1:5" x14ac:dyDescent="0.2">
      <c r="A6" t="s">
        <v>92</v>
      </c>
      <c r="B6" t="s">
        <v>93</v>
      </c>
      <c r="C6" t="s">
        <v>94</v>
      </c>
      <c r="D6" t="s">
        <v>91</v>
      </c>
      <c r="E6">
        <v>1</v>
      </c>
    </row>
    <row r="7" spans="1:5" x14ac:dyDescent="0.2">
      <c r="A7" t="s">
        <v>95</v>
      </c>
      <c r="B7" t="s">
        <v>96</v>
      </c>
      <c r="C7" t="s">
        <v>97</v>
      </c>
      <c r="D7" t="s">
        <v>91</v>
      </c>
      <c r="E7">
        <v>0.5</v>
      </c>
    </row>
    <row r="8" spans="1:5" x14ac:dyDescent="0.2">
      <c r="A8" t="s">
        <v>98</v>
      </c>
      <c r="B8" t="s">
        <v>99</v>
      </c>
      <c r="C8" t="s">
        <v>100</v>
      </c>
      <c r="D8" t="s">
        <v>91</v>
      </c>
      <c r="E8">
        <v>0.5</v>
      </c>
    </row>
    <row r="9" spans="1:5" x14ac:dyDescent="0.2">
      <c r="A9" t="s">
        <v>101</v>
      </c>
      <c r="B9" t="s">
        <v>102</v>
      </c>
      <c r="C9" t="s">
        <v>103</v>
      </c>
      <c r="D9" t="s">
        <v>91</v>
      </c>
      <c r="E9">
        <v>2.5</v>
      </c>
    </row>
    <row r="10" spans="1:5" x14ac:dyDescent="0.2">
      <c r="A10" t="s">
        <v>104</v>
      </c>
      <c r="B10" t="s">
        <v>105</v>
      </c>
      <c r="C10" t="s">
        <v>106</v>
      </c>
      <c r="D10" t="s">
        <v>91</v>
      </c>
      <c r="E10">
        <v>1</v>
      </c>
    </row>
    <row r="11" spans="1:5" x14ac:dyDescent="0.2">
      <c r="A11" t="s">
        <v>107</v>
      </c>
      <c r="B11" t="s">
        <v>108</v>
      </c>
      <c r="C11" t="s">
        <v>109</v>
      </c>
      <c r="D11" t="s">
        <v>91</v>
      </c>
      <c r="E11">
        <v>1</v>
      </c>
    </row>
    <row r="12" spans="1:5" x14ac:dyDescent="0.2">
      <c r="A12" t="s">
        <v>110</v>
      </c>
      <c r="B12" t="s">
        <v>111</v>
      </c>
      <c r="C12" t="s">
        <v>112</v>
      </c>
      <c r="D12" t="s">
        <v>91</v>
      </c>
      <c r="E12">
        <v>1</v>
      </c>
    </row>
    <row r="13" spans="1:5" x14ac:dyDescent="0.2">
      <c r="A13" t="s">
        <v>113</v>
      </c>
      <c r="B13" t="s">
        <v>114</v>
      </c>
      <c r="C13" t="s">
        <v>115</v>
      </c>
      <c r="D13" t="s">
        <v>116</v>
      </c>
      <c r="E13">
        <v>0.5</v>
      </c>
    </row>
    <row r="14" spans="1:5" x14ac:dyDescent="0.2">
      <c r="A14" t="s">
        <v>117</v>
      </c>
      <c r="B14" t="s">
        <v>118</v>
      </c>
      <c r="C14" t="s">
        <v>119</v>
      </c>
      <c r="D14" t="s">
        <v>116</v>
      </c>
      <c r="E14">
        <v>0.5</v>
      </c>
    </row>
    <row r="15" spans="1:5" x14ac:dyDescent="0.2">
      <c r="A15" t="s">
        <v>120</v>
      </c>
      <c r="B15" t="s">
        <v>121</v>
      </c>
      <c r="C15" t="s">
        <v>122</v>
      </c>
      <c r="D15" t="s">
        <v>116</v>
      </c>
      <c r="E15">
        <v>1</v>
      </c>
    </row>
    <row r="16" spans="1:5" x14ac:dyDescent="0.2">
      <c r="A16" t="s">
        <v>123</v>
      </c>
      <c r="B16" t="s">
        <v>124</v>
      </c>
      <c r="C16" t="s">
        <v>125</v>
      </c>
      <c r="D16" t="s">
        <v>66</v>
      </c>
      <c r="E16">
        <v>0.5</v>
      </c>
    </row>
    <row r="17" spans="1:5" x14ac:dyDescent="0.2">
      <c r="A17" t="s">
        <v>126</v>
      </c>
      <c r="B17" t="s">
        <v>127</v>
      </c>
      <c r="C17" t="s">
        <v>128</v>
      </c>
      <c r="D17" t="s">
        <v>66</v>
      </c>
      <c r="E17">
        <v>0.5</v>
      </c>
    </row>
    <row r="18" spans="1:5" x14ac:dyDescent="0.2">
      <c r="A18" t="s">
        <v>129</v>
      </c>
      <c r="B18" t="s">
        <v>130</v>
      </c>
      <c r="C18" t="s">
        <v>131</v>
      </c>
      <c r="D18" t="s">
        <v>67</v>
      </c>
      <c r="E18">
        <v>5</v>
      </c>
    </row>
    <row r="19" spans="1:5" x14ac:dyDescent="0.2">
      <c r="A19" t="s">
        <v>132</v>
      </c>
      <c r="B19" t="s">
        <v>133</v>
      </c>
      <c r="C19" t="s">
        <v>134</v>
      </c>
      <c r="D19" t="s">
        <v>67</v>
      </c>
      <c r="E19">
        <v>7</v>
      </c>
    </row>
    <row r="20" spans="1:5" x14ac:dyDescent="0.2">
      <c r="A20" t="s">
        <v>135</v>
      </c>
      <c r="B20" t="s">
        <v>136</v>
      </c>
      <c r="C20" t="s">
        <v>137</v>
      </c>
      <c r="D20" t="s">
        <v>64</v>
      </c>
      <c r="E20">
        <v>6</v>
      </c>
    </row>
    <row r="21" spans="1:5" x14ac:dyDescent="0.2">
      <c r="A21" t="s">
        <v>138</v>
      </c>
      <c r="B21" t="s">
        <v>139</v>
      </c>
      <c r="C21" t="s">
        <v>140</v>
      </c>
      <c r="D21" t="s">
        <v>141</v>
      </c>
      <c r="E21">
        <v>12</v>
      </c>
    </row>
    <row r="22" spans="1:5" x14ac:dyDescent="0.2">
      <c r="A22" s="6" t="s">
        <v>56</v>
      </c>
      <c r="E22" s="6">
        <f>SUM(E5:E21)</f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0" customWidth="1"/>
    <col min="3" max="3" width="60" customWidth="1"/>
    <col min="4" max="4" width="16" customWidth="1"/>
    <col min="5" max="5" width="10" customWidth="1"/>
  </cols>
  <sheetData>
    <row r="1" spans="1:5" ht="19" x14ac:dyDescent="0.25">
      <c r="A1" s="1" t="s">
        <v>142</v>
      </c>
    </row>
    <row r="2" spans="1:5" x14ac:dyDescent="0.2">
      <c r="A2" s="2" t="s">
        <v>143</v>
      </c>
    </row>
    <row r="4" spans="1:5" x14ac:dyDescent="0.2">
      <c r="A4" t="s">
        <v>85</v>
      </c>
      <c r="B4" t="s">
        <v>86</v>
      </c>
      <c r="C4" t="s">
        <v>87</v>
      </c>
      <c r="D4" t="s">
        <v>58</v>
      </c>
      <c r="E4" t="s">
        <v>71</v>
      </c>
    </row>
    <row r="5" spans="1:5" x14ac:dyDescent="0.2">
      <c r="A5" t="s">
        <v>144</v>
      </c>
      <c r="B5" t="s">
        <v>145</v>
      </c>
      <c r="C5" t="s">
        <v>146</v>
      </c>
      <c r="D5" t="s">
        <v>116</v>
      </c>
      <c r="E5">
        <v>1</v>
      </c>
    </row>
    <row r="6" spans="1:5" x14ac:dyDescent="0.2">
      <c r="A6" t="s">
        <v>147</v>
      </c>
      <c r="B6" t="s">
        <v>148</v>
      </c>
      <c r="C6" t="s">
        <v>149</v>
      </c>
      <c r="D6" t="s">
        <v>91</v>
      </c>
      <c r="E6">
        <v>0.5</v>
      </c>
    </row>
    <row r="7" spans="1:5" x14ac:dyDescent="0.2">
      <c r="A7" t="s">
        <v>150</v>
      </c>
      <c r="B7" t="s">
        <v>151</v>
      </c>
      <c r="C7" t="s">
        <v>152</v>
      </c>
      <c r="D7" t="s">
        <v>67</v>
      </c>
      <c r="E7">
        <v>0.5</v>
      </c>
    </row>
    <row r="8" spans="1:5" x14ac:dyDescent="0.2">
      <c r="A8" t="s">
        <v>153</v>
      </c>
      <c r="B8" t="s">
        <v>154</v>
      </c>
      <c r="C8" t="s">
        <v>155</v>
      </c>
      <c r="D8" t="s">
        <v>141</v>
      </c>
      <c r="E8">
        <v>0.5</v>
      </c>
    </row>
    <row r="9" spans="1:5" x14ac:dyDescent="0.2">
      <c r="A9" s="6" t="s">
        <v>56</v>
      </c>
      <c r="E9" s="6">
        <f>SUM(E5:E8)</f>
        <v>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"/>
  <sheetViews>
    <sheetView tabSelected="1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0" customWidth="1"/>
    <col min="3" max="3" width="60" customWidth="1"/>
    <col min="4" max="4" width="16" customWidth="1"/>
    <col min="5" max="5" width="10" customWidth="1"/>
  </cols>
  <sheetData>
    <row r="1" spans="1:5" ht="19" x14ac:dyDescent="0.25">
      <c r="A1" s="1" t="s">
        <v>156</v>
      </c>
    </row>
    <row r="2" spans="1:5" x14ac:dyDescent="0.2">
      <c r="A2" s="2" t="s">
        <v>157</v>
      </c>
    </row>
    <row r="4" spans="1:5" x14ac:dyDescent="0.2">
      <c r="A4" t="s">
        <v>85</v>
      </c>
      <c r="B4" t="s">
        <v>86</v>
      </c>
      <c r="C4" t="s">
        <v>87</v>
      </c>
      <c r="D4" t="s">
        <v>58</v>
      </c>
      <c r="E4" t="s">
        <v>71</v>
      </c>
    </row>
    <row r="5" spans="1:5" x14ac:dyDescent="0.2">
      <c r="A5" t="s">
        <v>158</v>
      </c>
      <c r="B5" t="s">
        <v>159</v>
      </c>
      <c r="C5" t="s">
        <v>160</v>
      </c>
      <c r="D5" t="s">
        <v>91</v>
      </c>
      <c r="E5">
        <v>0.5</v>
      </c>
    </row>
    <row r="6" spans="1:5" x14ac:dyDescent="0.2">
      <c r="A6" t="s">
        <v>161</v>
      </c>
      <c r="B6" t="s">
        <v>162</v>
      </c>
      <c r="C6" t="s">
        <v>163</v>
      </c>
      <c r="D6" t="s">
        <v>91</v>
      </c>
      <c r="E6">
        <v>1</v>
      </c>
    </row>
    <row r="7" spans="1:5" x14ac:dyDescent="0.2">
      <c r="A7" t="s">
        <v>164</v>
      </c>
      <c r="B7" t="s">
        <v>165</v>
      </c>
      <c r="C7" t="s">
        <v>166</v>
      </c>
      <c r="D7" t="s">
        <v>91</v>
      </c>
      <c r="E7">
        <v>1</v>
      </c>
    </row>
    <row r="8" spans="1:5" x14ac:dyDescent="0.2">
      <c r="A8" t="s">
        <v>167</v>
      </c>
      <c r="B8" t="s">
        <v>168</v>
      </c>
      <c r="C8" t="s">
        <v>169</v>
      </c>
      <c r="D8" t="s">
        <v>91</v>
      </c>
      <c r="E8">
        <v>0.5</v>
      </c>
    </row>
    <row r="9" spans="1:5" x14ac:dyDescent="0.2">
      <c r="A9" t="s">
        <v>170</v>
      </c>
      <c r="B9" t="s">
        <v>171</v>
      </c>
      <c r="C9" t="s">
        <v>172</v>
      </c>
      <c r="D9" t="s">
        <v>91</v>
      </c>
      <c r="E9">
        <v>1.5</v>
      </c>
    </row>
    <row r="10" spans="1:5" x14ac:dyDescent="0.2">
      <c r="A10" t="s">
        <v>173</v>
      </c>
      <c r="B10" t="s">
        <v>174</v>
      </c>
      <c r="C10" t="s">
        <v>175</v>
      </c>
      <c r="D10" t="s">
        <v>116</v>
      </c>
      <c r="E10">
        <v>0.75</v>
      </c>
    </row>
    <row r="11" spans="1:5" x14ac:dyDescent="0.2">
      <c r="A11" t="s">
        <v>176</v>
      </c>
      <c r="B11" t="s">
        <v>177</v>
      </c>
      <c r="C11" t="s">
        <v>178</v>
      </c>
      <c r="D11" t="s">
        <v>116</v>
      </c>
      <c r="E11">
        <v>0.5</v>
      </c>
    </row>
    <row r="12" spans="1:5" x14ac:dyDescent="0.2">
      <c r="A12" t="s">
        <v>179</v>
      </c>
      <c r="B12" t="s">
        <v>180</v>
      </c>
      <c r="C12" t="s">
        <v>181</v>
      </c>
      <c r="D12" t="s">
        <v>116</v>
      </c>
      <c r="E12">
        <v>0.75</v>
      </c>
    </row>
    <row r="13" spans="1:5" x14ac:dyDescent="0.2">
      <c r="A13" t="s">
        <v>182</v>
      </c>
      <c r="B13" t="s">
        <v>183</v>
      </c>
      <c r="C13" t="s">
        <v>184</v>
      </c>
      <c r="D13" t="s">
        <v>116</v>
      </c>
      <c r="E13">
        <v>0.5</v>
      </c>
    </row>
    <row r="14" spans="1:5" x14ac:dyDescent="0.2">
      <c r="A14" t="s">
        <v>185</v>
      </c>
      <c r="B14" t="s">
        <v>186</v>
      </c>
      <c r="C14" t="s">
        <v>187</v>
      </c>
      <c r="D14" t="s">
        <v>66</v>
      </c>
      <c r="E14">
        <v>0.5</v>
      </c>
    </row>
    <row r="15" spans="1:5" x14ac:dyDescent="0.2">
      <c r="A15" t="s">
        <v>188</v>
      </c>
      <c r="B15" t="s">
        <v>189</v>
      </c>
      <c r="C15" t="s">
        <v>190</v>
      </c>
      <c r="D15" t="s">
        <v>66</v>
      </c>
      <c r="E15">
        <v>0.5</v>
      </c>
    </row>
    <row r="16" spans="1:5" x14ac:dyDescent="0.2">
      <c r="A16" t="s">
        <v>191</v>
      </c>
      <c r="B16" t="s">
        <v>192</v>
      </c>
      <c r="C16" t="s">
        <v>193</v>
      </c>
      <c r="D16" t="s">
        <v>67</v>
      </c>
      <c r="E16">
        <v>1</v>
      </c>
    </row>
    <row r="17" spans="1:5" x14ac:dyDescent="0.2">
      <c r="A17" t="s">
        <v>194</v>
      </c>
      <c r="B17" t="s">
        <v>130</v>
      </c>
      <c r="C17" t="s">
        <v>195</v>
      </c>
      <c r="D17" t="s">
        <v>67</v>
      </c>
      <c r="E17">
        <v>2</v>
      </c>
    </row>
    <row r="18" spans="1:5" x14ac:dyDescent="0.2">
      <c r="A18" t="s">
        <v>196</v>
      </c>
      <c r="B18" t="s">
        <v>197</v>
      </c>
      <c r="C18" t="s">
        <v>198</v>
      </c>
      <c r="D18" t="s">
        <v>67</v>
      </c>
      <c r="E18">
        <v>0.5</v>
      </c>
    </row>
    <row r="19" spans="1:5" x14ac:dyDescent="0.2">
      <c r="A19" t="s">
        <v>199</v>
      </c>
      <c r="B19" t="s">
        <v>200</v>
      </c>
      <c r="C19" t="s">
        <v>201</v>
      </c>
      <c r="D19" t="s">
        <v>64</v>
      </c>
      <c r="E19">
        <v>0.5</v>
      </c>
    </row>
    <row r="20" spans="1:5" x14ac:dyDescent="0.2">
      <c r="A20" t="s">
        <v>202</v>
      </c>
      <c r="B20" t="s">
        <v>203</v>
      </c>
      <c r="C20" t="s">
        <v>204</v>
      </c>
      <c r="D20" t="s">
        <v>64</v>
      </c>
      <c r="E20">
        <v>0.5</v>
      </c>
    </row>
    <row r="21" spans="1:5" x14ac:dyDescent="0.2">
      <c r="A21" t="s">
        <v>205</v>
      </c>
      <c r="B21" t="s">
        <v>206</v>
      </c>
      <c r="C21" t="s">
        <v>207</v>
      </c>
      <c r="D21" t="s">
        <v>64</v>
      </c>
      <c r="E21">
        <v>0.5</v>
      </c>
    </row>
    <row r="22" spans="1:5" x14ac:dyDescent="0.2">
      <c r="A22" t="s">
        <v>208</v>
      </c>
      <c r="B22" t="s">
        <v>209</v>
      </c>
      <c r="C22" t="s">
        <v>210</v>
      </c>
      <c r="D22" t="s">
        <v>141</v>
      </c>
      <c r="E22">
        <v>1</v>
      </c>
    </row>
    <row r="23" spans="1:5" x14ac:dyDescent="0.2">
      <c r="A23" t="s">
        <v>211</v>
      </c>
      <c r="B23" t="s">
        <v>212</v>
      </c>
      <c r="C23" t="s">
        <v>213</v>
      </c>
      <c r="D23" t="s">
        <v>141</v>
      </c>
      <c r="E23">
        <v>1</v>
      </c>
    </row>
    <row r="24" spans="1:5" x14ac:dyDescent="0.2">
      <c r="A24" t="s">
        <v>214</v>
      </c>
      <c r="B24" t="s">
        <v>215</v>
      </c>
      <c r="C24" t="s">
        <v>216</v>
      </c>
      <c r="D24" t="s">
        <v>141</v>
      </c>
      <c r="E24">
        <v>1</v>
      </c>
    </row>
    <row r="25" spans="1:5" x14ac:dyDescent="0.2">
      <c r="A25" s="6" t="s">
        <v>56</v>
      </c>
      <c r="E25" s="6">
        <f>SUM(E5:E24)</f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Timeline</vt:lpstr>
      <vt:lpstr>Summary</vt:lpstr>
      <vt:lpstr>Detail CR-20260729-001</vt:lpstr>
      <vt:lpstr>Detail CR-20260908-001</vt:lpstr>
      <vt:lpstr>Detail CR-20260908-002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TLab 01106</cp:lastModifiedBy>
  <dcterms:created xsi:type="dcterms:W3CDTF">2026-09-10T03:58:15Z</dcterms:created>
  <dcterms:modified xsi:type="dcterms:W3CDTF">2026-09-10T04:39:58Z</dcterms:modified>
</cp:coreProperties>
</file>